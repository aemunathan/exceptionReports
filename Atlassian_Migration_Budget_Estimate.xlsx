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tion Budget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3366"/>
    </font>
  </fonts>
  <fills count="4">
    <fill>
      <patternFill/>
    </fill>
    <fill>
      <patternFill patternType="gray125"/>
    </fill>
    <fill>
      <patternFill patternType="solid">
        <fgColor rgb="00002D65"/>
        <bgColor rgb="00002D65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68" customWidth="1" min="1" max="1"/>
    <col width="22" customWidth="1" min="2" max="2"/>
    <col width="21" customWidth="1" min="3" max="3"/>
    <col width="15" customWidth="1" min="4" max="4"/>
    <col width="21" customWidth="1" min="5" max="5"/>
    <col width="28" customWidth="1" min="6" max="6"/>
    <col width="2" customWidth="1" min="7" max="7"/>
    <col width="2" customWidth="1" min="8" max="8"/>
  </cols>
  <sheetData>
    <row r="1">
      <c r="A1" s="1" t="inlineStr">
        <is>
          <t>Atlassian Products Regional Migration Budget Estimate (NAM ↔ APAC)</t>
        </is>
      </c>
    </row>
    <row r="2"/>
    <row r="3">
      <c r="A3" s="2" t="inlineStr">
        <is>
          <t>Scope Summary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3" t="inlineStr">
        <is>
          <t>Products</t>
        </is>
      </c>
      <c r="B4" s="3" t="inlineStr">
        <is>
          <t>Regions</t>
        </is>
      </c>
      <c r="C4" s="3" t="inlineStr">
        <is>
          <t>Migration Type</t>
        </is>
      </c>
      <c r="D4" s="3" t="inlineStr">
        <is>
          <t>Data Volume</t>
        </is>
      </c>
      <c r="E4" s="3" t="inlineStr">
        <is>
          <t>Users</t>
        </is>
      </c>
      <c r="F4" s="3" t="inlineStr">
        <is>
          <t>Notes</t>
        </is>
      </c>
      <c r="G4" s="3" t="n"/>
      <c r="H4" s="3" t="n"/>
    </row>
    <row r="5">
      <c r="A5" s="3" t="inlineStr">
        <is>
          <t>Jira Software</t>
        </is>
      </c>
      <c r="B5" s="3" t="inlineStr">
        <is>
          <t>NAM → APAC</t>
        </is>
      </c>
      <c r="C5" s="3" t="inlineStr">
        <is>
          <t>Cloud → Cloud</t>
        </is>
      </c>
      <c r="D5" s="3" t="inlineStr">
        <is>
          <t>500 GB</t>
        </is>
      </c>
      <c r="E5" s="3" t="inlineStr">
        <is>
          <t>300</t>
        </is>
      </c>
      <c r="F5" s="3" t="inlineStr">
        <is>
          <t>Wealth-related projects</t>
        </is>
      </c>
      <c r="G5" s="3" t="n"/>
      <c r="H5" s="3" t="n"/>
    </row>
    <row r="6">
      <c r="A6" s="2" t="inlineStr">
        <is>
          <t>Confluence</t>
        </is>
      </c>
      <c r="B6" s="3" t="inlineStr">
        <is>
          <t>NAM → APAC</t>
        </is>
      </c>
      <c r="C6" s="3" t="inlineStr">
        <is>
          <t>Cloud → Cloud</t>
        </is>
      </c>
      <c r="D6" s="3" t="inlineStr">
        <is>
          <t>300 GB</t>
        </is>
      </c>
      <c r="E6" s="3" t="inlineStr">
        <is>
          <t>300</t>
        </is>
      </c>
      <c r="F6" s="3" t="inlineStr">
        <is>
          <t>Spaces &amp; attachments</t>
        </is>
      </c>
      <c r="G6" s="3" t="n"/>
      <c r="H6" s="3" t="n"/>
    </row>
    <row r="7">
      <c r="A7" s="3" t="inlineStr">
        <is>
          <t>Bitbucket</t>
        </is>
      </c>
      <c r="B7" s="3" t="inlineStr">
        <is>
          <t>NAM → APAC</t>
        </is>
      </c>
      <c r="C7" s="3" t="inlineStr">
        <is>
          <t>Cloud → Cloud</t>
        </is>
      </c>
      <c r="D7" s="3" t="inlineStr">
        <is>
          <t>200 GB</t>
        </is>
      </c>
      <c r="E7" s="3" t="inlineStr">
        <is>
          <t>200</t>
        </is>
      </c>
      <c r="F7" s="3" t="inlineStr">
        <is>
          <t>Repos &amp; pipelines</t>
        </is>
      </c>
      <c r="G7" s="3" t="n"/>
      <c r="H7" s="3" t="n"/>
    </row>
    <row r="8">
      <c r="A8" s="3" t="inlineStr">
        <is>
          <t>Jira Software</t>
        </is>
      </c>
      <c r="B8" s="3" t="inlineStr">
        <is>
          <t>APAC → NAM</t>
        </is>
      </c>
      <c r="C8" s="3" t="inlineStr">
        <is>
          <t>Cloud → Cloud</t>
        </is>
      </c>
      <c r="D8" s="3" t="inlineStr">
        <is>
          <t>400 GB</t>
        </is>
      </c>
      <c r="E8" s="3" t="inlineStr">
        <is>
          <t>250</t>
        </is>
      </c>
      <c r="F8" s="3" t="inlineStr">
        <is>
          <t>Franchise-related projects</t>
        </is>
      </c>
      <c r="G8" s="3" t="n"/>
      <c r="H8" s="3" t="n"/>
    </row>
    <row r="9">
      <c r="A9" s="3" t="inlineStr">
        <is>
          <t>Confluence</t>
        </is>
      </c>
      <c r="B9" s="3" t="inlineStr">
        <is>
          <t>APAC → NAM</t>
        </is>
      </c>
      <c r="C9" s="3" t="inlineStr">
        <is>
          <t>Cloud → Cloud</t>
        </is>
      </c>
      <c r="D9" s="3" t="inlineStr">
        <is>
          <t>250 GB</t>
        </is>
      </c>
      <c r="E9" s="3" t="inlineStr">
        <is>
          <t>250</t>
        </is>
      </c>
      <c r="F9" s="3" t="inlineStr">
        <is>
          <t>Spaces &amp; templates</t>
        </is>
      </c>
      <c r="G9" s="3" t="n"/>
      <c r="H9" s="3" t="n"/>
    </row>
    <row r="10">
      <c r="A10" s="3" t="inlineStr">
        <is>
          <t>Bitbucket</t>
        </is>
      </c>
      <c r="B10" s="3" t="inlineStr">
        <is>
          <t>APAC → NAM</t>
        </is>
      </c>
      <c r="C10" s="3" t="inlineStr">
        <is>
          <t>Cloud → Cloud</t>
        </is>
      </c>
      <c r="D10" s="3" t="inlineStr">
        <is>
          <t>150 GB</t>
        </is>
      </c>
      <c r="E10" s="3" t="inlineStr">
        <is>
          <t>150</t>
        </is>
      </c>
      <c r="F10" s="3" t="inlineStr">
        <is>
          <t>Repos &amp; scripts</t>
        </is>
      </c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2" t="inlineStr">
        <is>
          <t>Role</t>
        </is>
      </c>
      <c r="B13" s="3" t="inlineStr">
        <is>
          <t>Hours</t>
        </is>
      </c>
      <c r="C13" s="3" t="inlineStr">
        <is>
          <t>Hourly Rate (USD)</t>
        </is>
      </c>
      <c r="D13" s="3" t="inlineStr">
        <is>
          <t>Cost (USD)</t>
        </is>
      </c>
      <c r="E13" s="3" t="n"/>
      <c r="F13" s="3" t="n"/>
      <c r="G13" s="3" t="n"/>
      <c r="H13" s="3" t="n"/>
    </row>
    <row r="14">
      <c r="A14" s="3" t="inlineStr">
        <is>
          <t>Atlassian Admin</t>
        </is>
      </c>
      <c r="B14" s="3" t="n">
        <v>120</v>
      </c>
      <c r="C14" s="3" t="n">
        <v>70</v>
      </c>
      <c r="D14" s="3">
        <f>B14*C14</f>
        <v/>
      </c>
      <c r="E14" s="3" t="n"/>
      <c r="F14" s="3" t="n"/>
      <c r="G14" s="3" t="n"/>
      <c r="H14" s="3" t="n"/>
    </row>
    <row r="15">
      <c r="A15" s="3" t="inlineStr">
        <is>
          <t>Project Manager</t>
        </is>
      </c>
      <c r="B15" s="3" t="n">
        <v>40</v>
      </c>
      <c r="C15" s="3" t="n">
        <v>65</v>
      </c>
      <c r="D15" s="3">
        <f>B15*C15</f>
        <v/>
      </c>
      <c r="E15" s="3" t="n"/>
      <c r="F15" s="3" t="n"/>
      <c r="G15" s="3" t="n"/>
      <c r="H15" s="3" t="n"/>
    </row>
    <row r="16">
      <c r="A16" s="3" t="inlineStr">
        <is>
          <t>QA Engineer</t>
        </is>
      </c>
      <c r="B16" s="3" t="n">
        <v>30</v>
      </c>
      <c r="C16" s="3" t="n">
        <v>55</v>
      </c>
      <c r="D16" s="3">
        <f>B16*C16</f>
        <v/>
      </c>
      <c r="E16" s="3" t="n"/>
      <c r="F16" s="3" t="n"/>
      <c r="G16" s="3" t="n"/>
      <c r="H16" s="3" t="n"/>
    </row>
    <row r="17">
      <c r="A17" s="3" t="inlineStr">
        <is>
          <t>Network/Security Engineer</t>
        </is>
      </c>
      <c r="B17" s="3" t="n">
        <v>25</v>
      </c>
      <c r="C17" s="3" t="n">
        <v>60</v>
      </c>
      <c r="D17" s="3">
        <f>B17*C17</f>
        <v/>
      </c>
      <c r="E17" s="3" t="n"/>
      <c r="F17" s="3" t="n"/>
      <c r="G17" s="3" t="n"/>
      <c r="H17" s="3" t="n"/>
    </row>
    <row r="18">
      <c r="A18" s="3" t="inlineStr">
        <is>
          <t>Consulting Partner</t>
        </is>
      </c>
      <c r="B18" s="3" t="n">
        <v>40</v>
      </c>
      <c r="C18" s="3" t="n">
        <v>200</v>
      </c>
      <c r="D18" s="3">
        <f>B18*C18</f>
        <v/>
      </c>
      <c r="E18" s="3" t="n"/>
      <c r="F18" s="3" t="n"/>
      <c r="G18" s="3" t="n"/>
      <c r="H18" s="3" t="n"/>
    </row>
    <row r="19">
      <c r="A19" s="3" t="inlineStr">
        <is>
          <t>Subtotal</t>
        </is>
      </c>
      <c r="B19" s="3" t="inlineStr"/>
      <c r="C19" s="3" t="inlineStr"/>
      <c r="D19" s="3">
        <f>SUM(D14:D18)</f>
        <v/>
      </c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2" t="inlineStr">
        <is>
          <t>Support Cost Estimate (Based on Historical Defects/Requests)</t>
        </is>
      </c>
      <c r="B21" s="3" t="n"/>
      <c r="C21" s="3" t="n"/>
      <c r="D21" s="3" t="n"/>
      <c r="E21" s="3" t="n"/>
      <c r="F21" s="3" t="n"/>
      <c r="G21" s="3" t="n"/>
      <c r="H21" s="3" t="n"/>
    </row>
    <row r="22">
      <c r="A22" s="3" t="inlineStr">
        <is>
          <t>Category</t>
        </is>
      </c>
      <c r="B22" s="3" t="inlineStr">
        <is>
          <t>Quantity</t>
        </is>
      </c>
      <c r="C22" s="3" t="inlineStr">
        <is>
          <t>Unit Cost (USD)</t>
        </is>
      </c>
      <c r="D22" s="3" t="inlineStr">
        <is>
          <t>Total (USD)</t>
        </is>
      </c>
      <c r="E22" s="3" t="inlineStr">
        <is>
          <t>Notes</t>
        </is>
      </c>
      <c r="F22" s="3" t="n"/>
      <c r="G22" s="3" t="n"/>
      <c r="H22" s="3" t="n"/>
    </row>
    <row r="23">
      <c r="A23" s="3" t="inlineStr">
        <is>
          <t>Data Transfer (1.8 TB)</t>
        </is>
      </c>
      <c r="B23" s="3" t="inlineStr">
        <is>
          <t>1843 GB</t>
        </is>
      </c>
      <c r="C23" s="3" t="n">
        <v>0.08</v>
      </c>
      <c r="D23" s="3">
        <f>B22*C22</f>
        <v/>
      </c>
      <c r="E23" s="3" t="inlineStr">
        <is>
          <t>AWS egress</t>
        </is>
      </c>
      <c r="F23" s="3" t="n"/>
      <c r="G23" s="3" t="n"/>
      <c r="H23" s="3" t="n"/>
    </row>
    <row r="24">
      <c r="A24" s="3" t="inlineStr">
        <is>
          <t>Temp Storage</t>
        </is>
      </c>
      <c r="B24" s="3" t="inlineStr">
        <is>
          <t>1.8 TB</t>
        </is>
      </c>
      <c r="C24" s="3" t="n">
        <v>0.03</v>
      </c>
      <c r="D24" s="3">
        <f>B23*C23</f>
        <v/>
      </c>
      <c r="E24" s="3" t="inlineStr">
        <is>
          <t>1 month S3/Blob</t>
        </is>
      </c>
      <c r="F24" s="3" t="n"/>
      <c r="G24" s="3" t="n"/>
      <c r="H24" s="3" t="n"/>
    </row>
    <row r="25">
      <c r="A25" s="3" t="inlineStr">
        <is>
          <t>Licensing delta</t>
        </is>
      </c>
      <c r="B25" s="3" t="inlineStr">
        <is>
          <t>550 users</t>
        </is>
      </c>
      <c r="C25" s="3" t="n">
        <v>10</v>
      </c>
      <c r="D25" s="3">
        <f>B24*C24</f>
        <v/>
      </c>
      <c r="E25" s="3" t="inlineStr">
        <is>
          <t>Tax &amp; regional cost</t>
        </is>
      </c>
      <c r="F25" s="3" t="n"/>
      <c r="G25" s="3" t="n"/>
      <c r="H25" s="3" t="n"/>
    </row>
    <row r="26">
      <c r="A26" s="3" t="inlineStr">
        <is>
          <t>Downtime/Test</t>
        </is>
      </c>
      <c r="B26" s="3" t="inlineStr"/>
      <c r="C26" s="3" t="n">
        <v>800</v>
      </c>
      <c r="D26" s="3" t="n">
        <v>800</v>
      </c>
      <c r="E26" s="3" t="inlineStr">
        <is>
          <t>Verification effort</t>
        </is>
      </c>
      <c r="F26" s="3" t="n"/>
      <c r="G26" s="3" t="n"/>
      <c r="H26" s="3" t="n"/>
    </row>
    <row r="27">
      <c r="A27" s="3" t="inlineStr">
        <is>
          <t>Subtotal</t>
        </is>
      </c>
      <c r="B27" s="3" t="inlineStr"/>
      <c r="C27" s="3" t="inlineStr"/>
      <c r="D27" s="3">
        <f>SUM(D22:D25)</f>
        <v/>
      </c>
      <c r="E27" s="3" t="inlineStr"/>
      <c r="F27" s="3" t="n"/>
      <c r="G27" s="3" t="n"/>
      <c r="H27" s="3" t="n"/>
    </row>
    <row r="28">
      <c r="A28" s="2" t="inlineStr">
        <is>
          <t>Contingency and Total</t>
        </is>
      </c>
      <c r="B28" s="3" t="n"/>
      <c r="C28" s="3" t="n"/>
      <c r="D28" s="3" t="n"/>
      <c r="E28" s="3" t="n"/>
      <c r="F28" s="3" t="n"/>
      <c r="G28" s="3" t="n"/>
      <c r="H28" s="3" t="n"/>
    </row>
    <row r="29">
      <c r="A29" s="3" t="inlineStr">
        <is>
          <t>Product</t>
        </is>
      </c>
      <c r="B29" s="3" t="inlineStr">
        <is>
          <t>Avg. Monthly Tickets</t>
        </is>
      </c>
      <c r="C29" s="3" t="inlineStr">
        <is>
          <t>Support Hours/Month</t>
        </is>
      </c>
      <c r="D29" s="3" t="inlineStr">
        <is>
          <t>Hourly Rate</t>
        </is>
      </c>
      <c r="E29" s="3" t="inlineStr">
        <is>
          <t>Monthly Cost (USD)</t>
        </is>
      </c>
      <c r="F29" s="3" t="inlineStr">
        <is>
          <t>Annual Cost (USD)</t>
        </is>
      </c>
      <c r="G29" s="3" t="n"/>
      <c r="H29" s="3" t="n"/>
    </row>
    <row r="30">
      <c r="A30" s="3" t="inlineStr">
        <is>
          <t>Jira</t>
        </is>
      </c>
      <c r="B30" s="3" t="n">
        <v>120</v>
      </c>
      <c r="C30" s="3" t="n">
        <v>40</v>
      </c>
      <c r="D30" s="3" t="n">
        <v>70</v>
      </c>
      <c r="E30" s="3">
        <f>C30*D30</f>
        <v/>
      </c>
      <c r="F30" s="3">
        <f>E30*12</f>
        <v/>
      </c>
      <c r="G30" s="3" t="n"/>
      <c r="H30" s="3" t="n"/>
    </row>
    <row r="31">
      <c r="A31" s="3" t="inlineStr">
        <is>
          <t>Confluence</t>
        </is>
      </c>
      <c r="B31" s="3" t="n">
        <v>80</v>
      </c>
      <c r="C31" s="3" t="n">
        <v>25</v>
      </c>
      <c r="D31" s="3" t="n">
        <v>70</v>
      </c>
      <c r="E31" s="3">
        <f>C31*D31</f>
        <v/>
      </c>
      <c r="F31" s="3">
        <f>E31*12</f>
        <v/>
      </c>
      <c r="G31" s="3" t="n"/>
      <c r="H31" s="3" t="n"/>
    </row>
    <row r="32">
      <c r="A32" s="3" t="inlineStr">
        <is>
          <t>Bitbucket</t>
        </is>
      </c>
      <c r="B32" s="3" t="n">
        <v>60</v>
      </c>
      <c r="C32" s="3" t="n">
        <v>20</v>
      </c>
      <c r="D32" s="3" t="n">
        <v>70</v>
      </c>
      <c r="E32" s="3">
        <f>C32*D32</f>
        <v/>
      </c>
      <c r="F32" s="3">
        <f>E32*12</f>
        <v/>
      </c>
      <c r="G32" s="3" t="n"/>
      <c r="H32" s="3" t="n"/>
    </row>
    <row r="33">
      <c r="A33" s="3" t="inlineStr">
        <is>
          <t>Subtotal (Annual)</t>
        </is>
      </c>
      <c r="B33" s="3" t="inlineStr"/>
      <c r="C33" s="3" t="inlineStr"/>
      <c r="D33" s="3" t="inlineStr"/>
      <c r="E33" s="3" t="inlineStr"/>
      <c r="F33" s="3">
        <f>SUM(F30:F32)</f>
        <v/>
      </c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inlineStr">
        <is>
          <t>Item</t>
        </is>
      </c>
      <c r="B35" s="3" t="inlineStr">
        <is>
          <t>Value (USD)</t>
        </is>
      </c>
      <c r="C35" s="3" t="inlineStr">
        <is>
          <t>Notes</t>
        </is>
      </c>
      <c r="D35" s="3" t="n"/>
      <c r="E35" s="3" t="n"/>
      <c r="F35" s="3" t="n"/>
      <c r="G35" s="3" t="n"/>
      <c r="H35" s="3" t="n"/>
    </row>
    <row r="36">
      <c r="A36" s="3" t="inlineStr">
        <is>
          <t>Labor + Infra subtotal</t>
        </is>
      </c>
      <c r="B36" s="3">
        <f>D19+D26</f>
        <v/>
      </c>
      <c r="C36" s="3" t="inlineStr"/>
      <c r="D36" s="3" t="n"/>
      <c r="E36" s="3" t="n"/>
      <c r="F36" s="3" t="n"/>
      <c r="G36" s="3" t="n"/>
      <c r="H36" s="3" t="n"/>
    </row>
    <row r="37">
      <c r="A37" s="3" t="inlineStr">
        <is>
          <t>Support (annual)</t>
        </is>
      </c>
      <c r="B37" s="3">
        <f>F33</f>
        <v/>
      </c>
      <c r="C37" s="3" t="inlineStr"/>
      <c r="D37" s="3" t="n"/>
      <c r="E37" s="3" t="n"/>
      <c r="F37" s="3" t="n"/>
      <c r="G37" s="3" t="n"/>
      <c r="H37" s="3" t="n"/>
    </row>
    <row r="38">
      <c r="A38" s="3" t="inlineStr">
        <is>
          <t>Contingency (15%)</t>
        </is>
      </c>
      <c r="B38" s="3">
        <f>SUM(B35:B36)*0.15</f>
        <v/>
      </c>
      <c r="C38" s="3" t="inlineStr"/>
      <c r="D38" s="3" t="n"/>
      <c r="E38" s="3" t="n"/>
      <c r="F38" s="3" t="n"/>
      <c r="G38" s="3" t="n"/>
      <c r="H38" s="3" t="n"/>
    </row>
    <row r="39">
      <c r="A39" s="3" t="inlineStr">
        <is>
          <t>Estimated Total Budget</t>
        </is>
      </c>
      <c r="B39" s="3">
        <f>SUM(B35:B37)</f>
        <v/>
      </c>
      <c r="C39" s="3" t="inlineStr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2025-11-19T18:07:45Z</dcterms:created>
  <dcterms:modified xmlns:dcterms="http://purl.org/dc/terms/" xmlns:xsi="http://www.w3.org/2001/XMLSchema-instance" xsi:type="dcterms:W3CDTF">2025-11-19T18:07:45Z</dcterms:modified>
</cp:coreProperties>
</file>